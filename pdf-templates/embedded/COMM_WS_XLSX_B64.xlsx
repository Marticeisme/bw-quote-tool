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nneywatson-my.sharepoint.com/personal/mmorrison_bonneywatson_com/Documents/Desktop/Checklist/"/>
    </mc:Choice>
  </mc:AlternateContent>
  <xr:revisionPtr revIDLastSave="32" documentId="8_{3EB38FE4-64C2-4454-9E5B-DD51CC3A3F41}" xr6:coauthVersionLast="47" xr6:coauthVersionMax="47" xr10:uidLastSave="{A09043B2-51C0-4228-88CF-83466DC2164E}"/>
  <bookViews>
    <workbookView xWindow="-108" yWindow="-108" windowWidth="23256" windowHeight="13896" xr2:uid="{00000000-000D-0000-FFFF-FFFF00000000}"/>
  </bookViews>
  <sheets>
    <sheet name="COMMISSION SHEET" sheetId="1" r:id="rId1"/>
    <sheet name="Std Comm Rates" sheetId="3" r:id="rId2"/>
    <sheet name="Do Not Delet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8" i="1" l="1"/>
  <c r="G18" i="1" l="1"/>
  <c r="G17" i="1"/>
  <c r="K17" i="1" s="1"/>
  <c r="G16" i="1"/>
  <c r="K16" i="1" s="1"/>
  <c r="G12" i="1"/>
  <c r="G11" i="1"/>
  <c r="G10" i="1"/>
  <c r="N26" i="1"/>
  <c r="N27" i="1"/>
  <c r="N28" i="1"/>
  <c r="L26" i="1"/>
  <c r="L27" i="1"/>
  <c r="L28" i="1"/>
  <c r="I25" i="1" l="1"/>
  <c r="L25" i="1" l="1"/>
  <c r="O18" i="1" l="1"/>
  <c r="O17" i="1"/>
  <c r="N17" i="1" s="1"/>
  <c r="O16" i="1"/>
  <c r="N16" i="1" s="1"/>
  <c r="F25" i="1" l="1"/>
  <c r="F22" i="1" l="1"/>
  <c r="K12" i="1"/>
  <c r="O12" i="1" l="1"/>
  <c r="N12" i="1" s="1"/>
  <c r="K11" i="1"/>
  <c r="N18" i="1"/>
  <c r="O11" i="1" l="1"/>
  <c r="N11" i="1" s="1"/>
  <c r="K20" i="1"/>
  <c r="O20" i="1" s="1"/>
  <c r="K21" i="1" l="1"/>
  <c r="O21" i="1" s="1"/>
  <c r="N20" i="1" l="1"/>
  <c r="K10" i="1"/>
  <c r="K22" i="1" l="1"/>
  <c r="O10" i="1"/>
  <c r="O22" i="1" s="1"/>
  <c r="K27" i="1" l="1"/>
  <c r="M27" i="1" s="1"/>
  <c r="K26" i="1"/>
  <c r="K28" i="1"/>
  <c r="M28" i="1" s="1"/>
  <c r="K25" i="1"/>
  <c r="N25" i="1" s="1"/>
  <c r="N10" i="1"/>
  <c r="M25" i="1" l="1"/>
  <c r="M26" i="1"/>
</calcChain>
</file>

<file path=xl/sharedStrings.xml><?xml version="1.0" encoding="utf-8"?>
<sst xmlns="http://schemas.openxmlformats.org/spreadsheetml/2006/main" count="83" uniqueCount="62">
  <si>
    <t>%</t>
  </si>
  <si>
    <t>N/A</t>
  </si>
  <si>
    <t xml:space="preserve">Purchaser Name: </t>
  </si>
  <si>
    <t>YES</t>
  </si>
  <si>
    <t>NO</t>
  </si>
  <si>
    <t>Company Lead (Seminars) [C]</t>
  </si>
  <si>
    <t>ITEM</t>
  </si>
  <si>
    <t>COMMISSION SUB-TOTAL</t>
  </si>
  <si>
    <t>Primary Family Service Director</t>
  </si>
  <si>
    <t>Family Service Director</t>
  </si>
  <si>
    <t xml:space="preserve">B-W MEMORIAL CORP. </t>
  </si>
  <si>
    <t>COMMISSION WORKSHEET</t>
  </si>
  <si>
    <t>COMMISSION SPLITS - PRENEED AND ATNEED CONTRACTS ONLY!</t>
  </si>
  <si>
    <t>PRIMARY FSD SIGNATURE</t>
  </si>
  <si>
    <t>Recipient/Deceased Name:</t>
  </si>
  <si>
    <t>TOTAL COMMISSION</t>
  </si>
  <si>
    <t>STD COMM RATE</t>
  </si>
  <si>
    <t>FINAL COMM RATE</t>
  </si>
  <si>
    <t>MGR % ADJ</t>
  </si>
  <si>
    <t>MGR $ ADJ</t>
  </si>
  <si>
    <t>MANAGER APPROVAL:</t>
  </si>
  <si>
    <t>CREMATION</t>
  </si>
  <si>
    <t>NON-CREMATION</t>
  </si>
  <si>
    <t>FSD Initials</t>
  </si>
  <si>
    <t>FUNERAL TRUST (CLEARPOINT)</t>
  </si>
  <si>
    <t>TRAVEL PROTECTION</t>
  </si>
  <si>
    <t>AT NEED</t>
  </si>
  <si>
    <t>PRE NEED</t>
  </si>
  <si>
    <t>SPLIT SALES - ENTER ADD'L FSD BELOW</t>
  </si>
  <si>
    <t>Mark Williams</t>
  </si>
  <si>
    <t>Property:  Cremation</t>
  </si>
  <si>
    <t>Property:  Non-Cremation</t>
  </si>
  <si>
    <t>Merchandise &amp; Setting Fees</t>
  </si>
  <si>
    <t>Date of Sale</t>
  </si>
  <si>
    <t>Randall Bergquist</t>
  </si>
  <si>
    <t>Deferred Commission</t>
  </si>
  <si>
    <t>FOR ACCTG USE ONLY</t>
  </si>
  <si>
    <t>Promotion</t>
  </si>
  <si>
    <t>FSD Earned Commission</t>
  </si>
  <si>
    <t>Payable Commission</t>
  </si>
  <si>
    <t>FUNERAL TRUST</t>
  </si>
  <si>
    <t>Board Volume = Funeral Goods/Services
(Do not include cash advance value)</t>
  </si>
  <si>
    <t>Rewrite:  Merchandise/Services Only</t>
  </si>
  <si>
    <t>See Policy "Pre-Need Cemetery Contract Cancellations &amp; Re-Writes" for Detail</t>
  </si>
  <si>
    <t xml:space="preserve"> Rewrite:  Includes Property</t>
  </si>
  <si>
    <t>Rewrite Stipend:  Contract Includes Property</t>
  </si>
  <si>
    <t>Rewrite Stipend:  Contract for Merch/Svc Only</t>
  </si>
  <si>
    <t>COMMISSIONABLE SALES</t>
  </si>
  <si>
    <t>PYMT PLAN?</t>
  </si>
  <si>
    <t>Sales Tax</t>
  </si>
  <si>
    <r>
      <t xml:space="preserve">AT NEED </t>
    </r>
    <r>
      <rPr>
        <b/>
        <i/>
        <sz val="12"/>
        <color rgb="FFFF0000"/>
        <rFont val="Cambria"/>
        <family val="1"/>
      </rPr>
      <t>(</t>
    </r>
    <r>
      <rPr>
        <b/>
        <i/>
        <sz val="9"/>
        <color rgb="FFFF0000"/>
        <rFont val="Cambria"/>
        <family val="1"/>
      </rPr>
      <t>Use Pull Down Menus to select Item</t>
    </r>
    <r>
      <rPr>
        <b/>
        <i/>
        <sz val="12"/>
        <color rgb="FFFF0000"/>
        <rFont val="Cambria"/>
        <family val="1"/>
      </rPr>
      <t>)</t>
    </r>
  </si>
  <si>
    <r>
      <t xml:space="preserve">RETAIL INSTALLMENT CONTRACT </t>
    </r>
    <r>
      <rPr>
        <b/>
        <i/>
        <sz val="12"/>
        <color rgb="FFFF0000"/>
        <rFont val="Cambria"/>
        <family val="1"/>
      </rPr>
      <t>(</t>
    </r>
    <r>
      <rPr>
        <b/>
        <i/>
        <sz val="9"/>
        <color rgb="FFFF0000"/>
        <rFont val="Cambria"/>
        <family val="1"/>
      </rPr>
      <t>Use Pull Down Menus to select Item</t>
    </r>
    <r>
      <rPr>
        <b/>
        <i/>
        <sz val="12"/>
        <color rgb="FFFF0000"/>
        <rFont val="Cambria"/>
        <family val="1"/>
      </rPr>
      <t>)</t>
    </r>
  </si>
  <si>
    <t>Enter Total Payment Received</t>
  </si>
  <si>
    <t>YOU CAN NOT HAVE BOTH % &amp; $ ADJ</t>
  </si>
  <si>
    <t>Martice Morrison</t>
  </si>
  <si>
    <t>Merchandise</t>
  </si>
  <si>
    <t>Emily Baldwin</t>
  </si>
  <si>
    <t>Jovhanna Byers</t>
  </si>
  <si>
    <t>Elly Hopkins</t>
  </si>
  <si>
    <t>Lane Johnson</t>
  </si>
  <si>
    <t>Jocelyn Longan</t>
  </si>
  <si>
    <t>Marchette Stamps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</si>
</sst>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0.000%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1"/>
      <name val="Cambria"/>
      <family val="1"/>
    </font>
    <font>
      <b/>
      <sz val="11"/>
      <color theme="1"/>
      <name val="Cambria"/>
      <family val="1"/>
    </font>
    <font>
      <b/>
      <sz val="14"/>
      <color theme="1"/>
      <name val="Cambria"/>
      <family val="1"/>
    </font>
    <font>
      <b/>
      <sz val="11"/>
      <name val="Cambria"/>
      <family val="1"/>
    </font>
    <font>
      <b/>
      <sz val="11"/>
      <color theme="0"/>
      <name val="Cambria"/>
      <family val="1"/>
    </font>
    <font>
      <i/>
      <sz val="11"/>
      <name val="Cambria"/>
      <family val="1"/>
    </font>
    <font>
      <b/>
      <i/>
      <sz val="14"/>
      <color theme="1"/>
      <name val="Cambria"/>
      <family val="1"/>
    </font>
    <font>
      <b/>
      <i/>
      <sz val="8"/>
      <color rgb="FFC00000"/>
      <name val="Cambria"/>
      <family val="1"/>
    </font>
    <font>
      <b/>
      <sz val="10"/>
      <color theme="0"/>
      <name val="Cambria"/>
      <family val="1"/>
    </font>
    <font>
      <b/>
      <sz val="10"/>
      <color theme="1"/>
      <name val="Cambria"/>
      <family val="1"/>
    </font>
    <font>
      <b/>
      <sz val="11"/>
      <color rgb="FFFF0000"/>
      <name val="Cambria"/>
      <family val="1"/>
    </font>
    <font>
      <b/>
      <u/>
      <sz val="14"/>
      <color theme="0"/>
      <name val="Cambria"/>
      <family val="1"/>
    </font>
    <font>
      <b/>
      <sz val="12"/>
      <color theme="1"/>
      <name val="Cambria"/>
      <family val="1"/>
    </font>
    <font>
      <b/>
      <sz val="12"/>
      <color rgb="FFFF0000"/>
      <name val="Cambria"/>
      <family val="1"/>
    </font>
    <font>
      <b/>
      <sz val="8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rgb="FFFF0000"/>
      <name val="Cambria"/>
      <family val="1"/>
    </font>
    <font>
      <b/>
      <i/>
      <sz val="12"/>
      <color rgb="FFFF0000"/>
      <name val="Cambria"/>
      <family val="1"/>
    </font>
    <font>
      <b/>
      <sz val="14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0"/>
      <color rgb="FFFF0000"/>
      <name val="Cambria"/>
      <family val="1"/>
    </font>
    <font>
      <b/>
      <i/>
      <sz val="9"/>
      <color rgb="FFFF0000"/>
      <name val="Cambria"/>
      <family val="1"/>
    </font>
    <font>
      <b/>
      <sz val="8"/>
      <color rgb="FFC00000"/>
      <name val="Cambria"/>
      <family val="1"/>
    </font>
    <font>
      <b/>
      <sz val="14"/>
      <color rgb="FFFF0000"/>
      <name val="Cambria"/>
      <family val="1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1CC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rgb="FFC00000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8">
    <xf numFmtId="0" fontId="0" fillId="0" borderId="0" xfId="0"/>
    <xf numFmtId="44" fontId="3" fillId="7" borderId="1" xfId="1" applyFont="1" applyFill="1" applyBorder="1" applyAlignment="1" applyProtection="1">
      <alignment horizontal="center" vertical="center" wrapText="1"/>
      <protection locked="0"/>
    </xf>
    <xf numFmtId="0" fontId="15" fillId="7" borderId="1" xfId="0" applyFont="1" applyFill="1" applyBorder="1" applyAlignment="1" applyProtection="1">
      <alignment horizontal="left" vertical="center" indent="2"/>
      <protection locked="0"/>
    </xf>
    <xf numFmtId="0" fontId="17" fillId="0" borderId="0" xfId="0" applyFont="1"/>
    <xf numFmtId="0" fontId="18" fillId="0" borderId="0" xfId="0" applyFont="1"/>
    <xf numFmtId="10" fontId="2" fillId="7" borderId="1" xfId="2" applyNumberFormat="1" applyFont="1" applyFill="1" applyBorder="1" applyAlignment="1" applyProtection="1">
      <alignment horizontal="center" vertical="center"/>
      <protection locked="0"/>
    </xf>
    <xf numFmtId="44" fontId="3" fillId="13" borderId="1" xfId="1" applyFont="1" applyFill="1" applyBorder="1" applyAlignment="1" applyProtection="1">
      <alignment horizontal="center" vertical="center" wrapText="1"/>
      <protection locked="0"/>
    </xf>
    <xf numFmtId="9" fontId="2" fillId="13" borderId="1" xfId="2" applyFont="1" applyFill="1" applyBorder="1" applyAlignment="1" applyProtection="1">
      <alignment horizontal="right" vertical="center"/>
      <protection locked="0"/>
    </xf>
    <xf numFmtId="44" fontId="2" fillId="13" borderId="1" xfId="1" applyFont="1" applyFill="1" applyBorder="1" applyAlignment="1" applyProtection="1">
      <alignment vertical="center"/>
      <protection locked="0"/>
    </xf>
    <xf numFmtId="44" fontId="2" fillId="2" borderId="0" xfId="0" applyNumberFormat="1" applyFont="1" applyFill="1" applyAlignment="1">
      <alignment vertical="center"/>
    </xf>
    <xf numFmtId="44" fontId="3" fillId="14" borderId="1" xfId="1" applyFont="1" applyFill="1" applyBorder="1" applyAlignment="1" applyProtection="1">
      <alignment horizontal="center" vertical="center" wrapText="1"/>
      <protection locked="0"/>
    </xf>
    <xf numFmtId="9" fontId="2" fillId="14" borderId="1" xfId="2" applyFont="1" applyFill="1" applyBorder="1" applyAlignment="1" applyProtection="1">
      <alignment horizontal="right" vertical="center"/>
      <protection locked="0"/>
    </xf>
    <xf numFmtId="44" fontId="2" fillId="14" borderId="1" xfId="1" applyFont="1" applyFill="1" applyBorder="1" applyAlignment="1" applyProtection="1">
      <alignment vertical="center"/>
      <protection locked="0"/>
    </xf>
    <xf numFmtId="44" fontId="8" fillId="12" borderId="1" xfId="1" applyFont="1" applyFill="1" applyBorder="1" applyAlignment="1" applyProtection="1">
      <alignment horizontal="center" vertical="center" wrapText="1"/>
      <protection locked="0"/>
    </xf>
    <xf numFmtId="44" fontId="3" fillId="12" borderId="1" xfId="1" applyFont="1" applyFill="1" applyBorder="1" applyAlignment="1" applyProtection="1">
      <alignment horizontal="center" vertical="center" wrapText="1"/>
      <protection locked="0"/>
    </xf>
    <xf numFmtId="9" fontId="2" fillId="12" borderId="1" xfId="2" applyFont="1" applyFill="1" applyBorder="1" applyAlignment="1" applyProtection="1">
      <alignment horizontal="right" vertical="center"/>
      <protection locked="0"/>
    </xf>
    <xf numFmtId="44" fontId="2" fillId="12" borderId="2" xfId="1" applyFont="1" applyFill="1" applyBorder="1" applyAlignment="1" applyProtection="1">
      <alignment vertical="center"/>
      <protection locked="0"/>
    </xf>
    <xf numFmtId="9" fontId="2" fillId="12" borderId="6" xfId="2" applyFont="1" applyFill="1" applyBorder="1" applyAlignment="1" applyProtection="1">
      <alignment horizontal="right" vertical="center"/>
      <protection locked="0"/>
    </xf>
    <xf numFmtId="44" fontId="2" fillId="12" borderId="11" xfId="1" applyFont="1" applyFill="1" applyBorder="1" applyAlignment="1" applyProtection="1">
      <alignment vertical="center"/>
      <protection locked="0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44" fontId="3" fillId="0" borderId="0" xfId="1" applyFont="1" applyAlignment="1" applyProtection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44" fontId="3" fillId="0" borderId="0" xfId="1" applyFont="1" applyAlignment="1" applyProtection="1">
      <alignment horizontal="center" vertical="center" wrapText="1"/>
    </xf>
    <xf numFmtId="0" fontId="10" fillId="0" borderId="0" xfId="0" applyFont="1" applyAlignment="1">
      <alignment horizontal="center" wrapText="1"/>
    </xf>
    <xf numFmtId="44" fontId="7" fillId="5" borderId="10" xfId="1" applyFont="1" applyFill="1" applyBorder="1" applyAlignment="1" applyProtection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9" fontId="2" fillId="2" borderId="0" xfId="0" applyNumberFormat="1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4" fontId="12" fillId="2" borderId="0" xfId="1" applyNumberFormat="1" applyFont="1" applyFill="1" applyAlignment="1" applyProtection="1">
      <alignment vertical="center"/>
    </xf>
    <xf numFmtId="0" fontId="2" fillId="2" borderId="12" xfId="0" applyFont="1" applyFill="1" applyBorder="1" applyAlignment="1">
      <alignment vertical="center"/>
    </xf>
    <xf numFmtId="0" fontId="2" fillId="11" borderId="4" xfId="0" applyFont="1" applyFill="1" applyBorder="1" applyAlignment="1">
      <alignment vertical="center"/>
    </xf>
    <xf numFmtId="164" fontId="12" fillId="2" borderId="9" xfId="1" applyNumberFormat="1" applyFont="1" applyFill="1" applyBorder="1" applyAlignment="1" applyProtection="1">
      <alignment vertical="center"/>
    </xf>
    <xf numFmtId="44" fontId="2" fillId="2" borderId="9" xfId="1" applyFont="1" applyFill="1" applyBorder="1" applyAlignment="1" applyProtection="1">
      <alignment vertical="center"/>
    </xf>
    <xf numFmtId="0" fontId="2" fillId="2" borderId="7" xfId="0" applyFont="1" applyFill="1" applyBorder="1" applyAlignment="1">
      <alignment vertical="center"/>
    </xf>
    <xf numFmtId="0" fontId="4" fillId="0" borderId="13" xfId="0" applyFont="1" applyBorder="1" applyAlignment="1">
      <alignment vertical="center" wrapText="1"/>
    </xf>
    <xf numFmtId="9" fontId="19" fillId="0" borderId="0" xfId="0" applyNumberFormat="1" applyFont="1" applyAlignment="1">
      <alignment horizontal="centerContinuous" vertical="center"/>
    </xf>
    <xf numFmtId="0" fontId="19" fillId="0" borderId="0" xfId="0" applyFont="1" applyAlignment="1">
      <alignment horizontal="centerContinuous" vertical="center"/>
    </xf>
    <xf numFmtId="9" fontId="2" fillId="0" borderId="0" xfId="2" applyFont="1" applyAlignment="1" applyProtection="1">
      <alignment horizontal="right" vertical="center"/>
    </xf>
    <xf numFmtId="44" fontId="2" fillId="0" borderId="0" xfId="1" applyFont="1" applyAlignment="1" applyProtection="1">
      <alignment vertical="center"/>
    </xf>
    <xf numFmtId="164" fontId="12" fillId="0" borderId="0" xfId="1" applyNumberFormat="1" applyFont="1" applyAlignment="1" applyProtection="1">
      <alignment vertical="center"/>
    </xf>
    <xf numFmtId="0" fontId="2" fillId="0" borderId="1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9" fontId="2" fillId="11" borderId="1" xfId="0" applyNumberFormat="1" applyFont="1" applyFill="1" applyBorder="1" applyAlignment="1">
      <alignment vertical="center"/>
    </xf>
    <xf numFmtId="9" fontId="2" fillId="3" borderId="0" xfId="0" applyNumberFormat="1" applyFont="1" applyFill="1" applyAlignment="1">
      <alignment horizontal="center" vertical="center"/>
    </xf>
    <xf numFmtId="9" fontId="2" fillId="9" borderId="16" xfId="0" applyNumberFormat="1" applyFont="1" applyFill="1" applyBorder="1" applyAlignment="1">
      <alignment horizontal="center" vertical="center"/>
    </xf>
    <xf numFmtId="44" fontId="2" fillId="3" borderId="0" xfId="1" applyFont="1" applyFill="1" applyAlignment="1" applyProtection="1">
      <alignment vertical="center"/>
    </xf>
    <xf numFmtId="164" fontId="12" fillId="3" borderId="0" xfId="1" applyNumberFormat="1" applyFont="1" applyFill="1" applyAlignment="1" applyProtection="1">
      <alignment vertical="center"/>
    </xf>
    <xf numFmtId="0" fontId="2" fillId="3" borderId="12" xfId="0" applyFont="1" applyFill="1" applyBorder="1" applyAlignment="1">
      <alignment vertical="center"/>
    </xf>
    <xf numFmtId="9" fontId="2" fillId="11" borderId="4" xfId="0" applyNumberFormat="1" applyFont="1" applyFill="1" applyBorder="1" applyAlignment="1">
      <alignment vertical="center"/>
    </xf>
    <xf numFmtId="9" fontId="2" fillId="9" borderId="3" xfId="0" applyNumberFormat="1" applyFont="1" applyFill="1" applyBorder="1" applyAlignment="1">
      <alignment horizontal="center" vertical="center"/>
    </xf>
    <xf numFmtId="9" fontId="2" fillId="11" borderId="4" xfId="0" applyNumberFormat="1" applyFont="1" applyFill="1" applyBorder="1" applyAlignment="1">
      <alignment horizontal="center" vertical="center"/>
    </xf>
    <xf numFmtId="164" fontId="12" fillId="3" borderId="9" xfId="1" applyNumberFormat="1" applyFont="1" applyFill="1" applyBorder="1" applyAlignment="1" applyProtection="1">
      <alignment vertical="center"/>
    </xf>
    <xf numFmtId="0" fontId="2" fillId="3" borderId="7" xfId="0" applyFont="1" applyFill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44" fontId="8" fillId="0" borderId="0" xfId="1" applyFont="1" applyAlignment="1" applyProtection="1">
      <alignment horizontal="center" vertical="center" wrapText="1"/>
    </xf>
    <xf numFmtId="9" fontId="2" fillId="0" borderId="0" xfId="0" applyNumberFormat="1" applyFont="1" applyAlignment="1">
      <alignment horizontal="center" vertical="center"/>
    </xf>
    <xf numFmtId="9" fontId="2" fillId="0" borderId="4" xfId="0" applyNumberFormat="1" applyFont="1" applyBorder="1" applyAlignment="1">
      <alignment vertical="center"/>
    </xf>
    <xf numFmtId="44" fontId="2" fillId="6" borderId="0" xfId="1" applyFont="1" applyFill="1" applyAlignment="1" applyProtection="1">
      <alignment vertical="center"/>
    </xf>
    <xf numFmtId="9" fontId="2" fillId="6" borderId="0" xfId="0" applyNumberFormat="1" applyFont="1" applyFill="1" applyAlignment="1">
      <alignment horizontal="center" vertical="center"/>
    </xf>
    <xf numFmtId="164" fontId="12" fillId="6" borderId="14" xfId="1" applyNumberFormat="1" applyFont="1" applyFill="1" applyBorder="1" applyAlignment="1" applyProtection="1">
      <alignment vertical="center"/>
    </xf>
    <xf numFmtId="0" fontId="2" fillId="6" borderId="12" xfId="0" applyFont="1" applyFill="1" applyBorder="1" applyAlignment="1">
      <alignment vertical="center"/>
    </xf>
    <xf numFmtId="2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/>
    </xf>
    <xf numFmtId="44" fontId="2" fillId="6" borderId="9" xfId="1" applyFont="1" applyFill="1" applyBorder="1" applyAlignment="1" applyProtection="1">
      <alignment vertical="center"/>
    </xf>
    <xf numFmtId="10" fontId="12" fillId="6" borderId="14" xfId="1" applyNumberFormat="1" applyFont="1" applyFill="1" applyBorder="1" applyAlignment="1" applyProtection="1">
      <alignment horizontal="right" vertical="center"/>
    </xf>
    <xf numFmtId="0" fontId="2" fillId="6" borderId="7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5" borderId="6" xfId="0" applyFont="1" applyFill="1" applyBorder="1" applyAlignment="1">
      <alignment horizontal="left" vertical="center" wrapText="1"/>
    </xf>
    <xf numFmtId="44" fontId="7" fillId="5" borderId="6" xfId="1" applyFont="1" applyFill="1" applyBorder="1" applyAlignment="1" applyProtection="1">
      <alignment horizontal="center" vertical="center" wrapText="1"/>
    </xf>
    <xf numFmtId="2" fontId="7" fillId="5" borderId="6" xfId="0" applyNumberFormat="1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/>
    </xf>
    <xf numFmtId="9" fontId="7" fillId="5" borderId="1" xfId="2" applyFont="1" applyFill="1" applyBorder="1" applyAlignment="1" applyProtection="1">
      <alignment horizontal="right" vertical="center"/>
    </xf>
    <xf numFmtId="44" fontId="7" fillId="5" borderId="1" xfId="1" applyFont="1" applyFill="1" applyBorder="1" applyAlignment="1" applyProtection="1">
      <alignment vertical="center"/>
    </xf>
    <xf numFmtId="44" fontId="7" fillId="5" borderId="11" xfId="1" applyFont="1" applyFill="1" applyBorder="1" applyAlignment="1" applyProtection="1">
      <alignment horizontal="center" vertical="center" wrapText="1"/>
    </xf>
    <xf numFmtId="44" fontId="4" fillId="8" borderId="6" xfId="0" applyNumberFormat="1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44" fontId="6" fillId="0" borderId="0" xfId="1" applyFont="1" applyAlignment="1" applyProtection="1">
      <alignment vertical="center" wrapText="1"/>
    </xf>
    <xf numFmtId="0" fontId="9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4" fontId="2" fillId="0" borderId="0" xfId="0" applyNumberFormat="1" applyFont="1" applyAlignment="1">
      <alignment vertical="center"/>
    </xf>
    <xf numFmtId="10" fontId="2" fillId="0" borderId="1" xfId="0" applyNumberFormat="1" applyFont="1" applyBorder="1" applyAlignment="1">
      <alignment horizontal="center" vertical="center"/>
    </xf>
    <xf numFmtId="44" fontId="2" fillId="0" borderId="1" xfId="0" applyNumberFormat="1" applyFont="1" applyBorder="1" applyAlignment="1">
      <alignment horizontal="center" vertical="center"/>
    </xf>
    <xf numFmtId="10" fontId="2" fillId="8" borderId="1" xfId="2" applyNumberFormat="1" applyFont="1" applyFill="1" applyBorder="1" applyAlignment="1" applyProtection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9" fontId="2" fillId="15" borderId="1" xfId="2" applyFont="1" applyFill="1" applyBorder="1" applyAlignment="1" applyProtection="1">
      <alignment horizontal="right" vertical="center"/>
    </xf>
    <xf numFmtId="164" fontId="2" fillId="6" borderId="0" xfId="0" applyNumberFormat="1" applyFont="1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right"/>
    </xf>
    <xf numFmtId="9" fontId="0" fillId="2" borderId="0" xfId="0" applyNumberFormat="1" applyFill="1"/>
    <xf numFmtId="0" fontId="21" fillId="2" borderId="0" xfId="0" applyFont="1" applyFill="1"/>
    <xf numFmtId="0" fontId="21" fillId="3" borderId="0" xfId="0" applyFont="1" applyFill="1"/>
    <xf numFmtId="0" fontId="0" fillId="3" borderId="0" xfId="0" applyFill="1"/>
    <xf numFmtId="0" fontId="0" fillId="3" borderId="0" xfId="0" applyFill="1" applyAlignment="1">
      <alignment horizontal="right"/>
    </xf>
    <xf numFmtId="9" fontId="0" fillId="3" borderId="0" xfId="0" applyNumberFormat="1" applyFill="1"/>
    <xf numFmtId="0" fontId="0" fillId="6" borderId="0" xfId="0" applyFill="1"/>
    <xf numFmtId="9" fontId="0" fillId="6" borderId="0" xfId="0" applyNumberFormat="1" applyFill="1"/>
    <xf numFmtId="0" fontId="0" fillId="6" borderId="0" xfId="0" applyFill="1" applyAlignment="1">
      <alignment wrapText="1"/>
    </xf>
    <xf numFmtId="44" fontId="0" fillId="6" borderId="0" xfId="0" applyNumberFormat="1" applyFill="1"/>
    <xf numFmtId="0" fontId="21" fillId="6" borderId="0" xfId="0" applyFont="1" applyFill="1"/>
    <xf numFmtId="6" fontId="0" fillId="3" borderId="0" xfId="0" applyNumberFormat="1" applyFill="1" applyAlignment="1">
      <alignment horizontal="right"/>
    </xf>
    <xf numFmtId="0" fontId="22" fillId="3" borderId="0" xfId="0" applyFont="1" applyFill="1" applyAlignment="1">
      <alignment horizontal="right" vertical="top" wrapText="1"/>
    </xf>
    <xf numFmtId="0" fontId="2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textRotation="90" wrapText="1"/>
    </xf>
    <xf numFmtId="0" fontId="4" fillId="6" borderId="2" xfId="0" applyFont="1" applyFill="1" applyBorder="1" applyAlignment="1">
      <alignment horizontal="center" vertical="center" wrapText="1"/>
    </xf>
    <xf numFmtId="44" fontId="19" fillId="0" borderId="0" xfId="0" applyNumberFormat="1" applyFont="1" applyAlignment="1">
      <alignment horizontal="centerContinuous" vertical="center"/>
    </xf>
    <xf numFmtId="0" fontId="2" fillId="0" borderId="4" xfId="0" applyFont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9" fontId="19" fillId="3" borderId="0" xfId="0" applyNumberFormat="1" applyFont="1" applyFill="1" applyAlignment="1">
      <alignment horizontal="centerContinuous"/>
    </xf>
    <xf numFmtId="44" fontId="19" fillId="3" borderId="0" xfId="0" applyNumberFormat="1" applyFont="1" applyFill="1" applyAlignment="1">
      <alignment horizontal="centerContinuous" vertical="center"/>
    </xf>
    <xf numFmtId="0" fontId="19" fillId="3" borderId="0" xfId="0" applyFont="1" applyFill="1" applyAlignment="1">
      <alignment horizontal="centerContinuous" vertical="center"/>
    </xf>
    <xf numFmtId="9" fontId="2" fillId="3" borderId="0" xfId="2" applyFont="1" applyFill="1" applyBorder="1" applyAlignment="1" applyProtection="1">
      <alignment horizontal="right" vertical="center"/>
    </xf>
    <xf numFmtId="44" fontId="2" fillId="3" borderId="0" xfId="1" applyFont="1" applyFill="1" applyBorder="1" applyAlignment="1" applyProtection="1">
      <alignment vertical="center"/>
    </xf>
    <xf numFmtId="164" fontId="12" fillId="3" borderId="0" xfId="1" applyNumberFormat="1" applyFont="1" applyFill="1" applyBorder="1" applyAlignment="1" applyProtection="1">
      <alignment vertical="center"/>
    </xf>
    <xf numFmtId="10" fontId="0" fillId="0" borderId="0" xfId="0" applyNumberFormat="1"/>
    <xf numFmtId="44" fontId="2" fillId="0" borderId="1" xfId="0" quotePrefix="1" applyNumberFormat="1" applyFont="1" applyBorder="1" applyAlignment="1">
      <alignment horizontal="center" vertical="center"/>
    </xf>
    <xf numFmtId="44" fontId="2" fillId="0" borderId="1" xfId="1" applyFont="1" applyBorder="1" applyAlignment="1" applyProtection="1">
      <alignment horizontal="center" vertical="center"/>
    </xf>
    <xf numFmtId="0" fontId="2" fillId="3" borderId="0" xfId="0" applyFont="1" applyFill="1" applyAlignment="1">
      <alignment vertical="center"/>
    </xf>
    <xf numFmtId="44" fontId="2" fillId="3" borderId="0" xfId="1" applyFont="1" applyFill="1" applyBorder="1" applyAlignment="1" applyProtection="1">
      <alignment horizontal="center" vertical="center" wrapText="1"/>
    </xf>
    <xf numFmtId="44" fontId="4" fillId="3" borderId="9" xfId="0" applyNumberFormat="1" applyFont="1" applyFill="1" applyBorder="1" applyAlignment="1">
      <alignment horizontal="center" vertical="center" wrapText="1"/>
    </xf>
    <xf numFmtId="0" fontId="15" fillId="6" borderId="4" xfId="0" applyFont="1" applyFill="1" applyBorder="1" applyAlignment="1" applyProtection="1">
      <alignment vertical="center" wrapText="1"/>
      <protection locked="0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15" fillId="6" borderId="13" xfId="0" applyFont="1" applyFill="1" applyBorder="1" applyAlignment="1">
      <alignment horizontal="left" vertical="center" wrapText="1"/>
    </xf>
    <xf numFmtId="0" fontId="15" fillId="6" borderId="8" xfId="0" applyFont="1" applyFill="1" applyBorder="1" applyAlignment="1">
      <alignment horizontal="left" vertical="center" wrapText="1"/>
    </xf>
    <xf numFmtId="0" fontId="15" fillId="6" borderId="5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right" vertical="center" wrapText="1"/>
    </xf>
    <xf numFmtId="0" fontId="15" fillId="3" borderId="14" xfId="0" applyFont="1" applyFill="1" applyBorder="1" applyAlignment="1">
      <alignment horizontal="left" vertical="center" wrapText="1"/>
    </xf>
    <xf numFmtId="0" fontId="15" fillId="3" borderId="0" xfId="0" applyFont="1" applyFill="1" applyAlignment="1">
      <alignment horizontal="left" vertical="center" wrapText="1"/>
    </xf>
    <xf numFmtId="44" fontId="6" fillId="0" borderId="13" xfId="1" applyFont="1" applyBorder="1" applyAlignment="1" applyProtection="1">
      <alignment horizontal="center" vertical="center" wrapText="1"/>
    </xf>
    <xf numFmtId="44" fontId="6" fillId="0" borderId="11" xfId="1" applyFont="1" applyBorder="1" applyAlignment="1" applyProtection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12" fillId="0" borderId="13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14" fontId="4" fillId="7" borderId="13" xfId="0" applyNumberFormat="1" applyFont="1" applyFill="1" applyBorder="1" applyAlignment="1" applyProtection="1">
      <alignment horizontal="center" vertical="center" wrapText="1"/>
      <protection locked="0"/>
    </xf>
    <xf numFmtId="14" fontId="4" fillId="7" borderId="5" xfId="0" applyNumberFormat="1" applyFont="1" applyFill="1" applyBorder="1" applyAlignment="1" applyProtection="1">
      <alignment horizontal="center" vertical="center" wrapText="1"/>
      <protection locked="0"/>
    </xf>
    <xf numFmtId="14" fontId="4" fillId="7" borderId="11" xfId="0" applyNumberFormat="1" applyFont="1" applyFill="1" applyBorder="1" applyAlignment="1" applyProtection="1">
      <alignment horizontal="center" vertical="center" wrapText="1"/>
      <protection locked="0"/>
    </xf>
    <xf numFmtId="14" fontId="4" fillId="7" borderId="7" xfId="0" applyNumberFormat="1" applyFont="1" applyFill="1" applyBorder="1" applyAlignment="1" applyProtection="1">
      <alignment horizontal="center" vertical="center" wrapText="1"/>
      <protection locked="0"/>
    </xf>
    <xf numFmtId="1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7" borderId="11" xfId="0" applyFont="1" applyFill="1" applyBorder="1" applyAlignment="1" applyProtection="1">
      <alignment horizontal="left" vertical="center" indent="2"/>
      <protection locked="0"/>
    </xf>
    <xf numFmtId="0" fontId="5" fillId="7" borderId="9" xfId="0" applyFont="1" applyFill="1" applyBorder="1" applyAlignment="1" applyProtection="1">
      <alignment horizontal="left" vertical="center" indent="2"/>
      <protection locked="0"/>
    </xf>
    <xf numFmtId="0" fontId="5" fillId="7" borderId="7" xfId="0" applyFont="1" applyFill="1" applyBorder="1" applyAlignment="1" applyProtection="1">
      <alignment horizontal="left" vertical="center" indent="2"/>
      <protection locked="0"/>
    </xf>
    <xf numFmtId="0" fontId="4" fillId="0" borderId="0" xfId="0" applyFont="1" applyAlignment="1">
      <alignment horizontal="right" vertical="center"/>
    </xf>
    <xf numFmtId="0" fontId="5" fillId="7" borderId="13" xfId="0" applyFont="1" applyFill="1" applyBorder="1" applyAlignment="1" applyProtection="1">
      <alignment horizontal="left" vertical="center" indent="2"/>
      <protection locked="0"/>
    </xf>
    <xf numFmtId="0" fontId="5" fillId="7" borderId="8" xfId="0" applyFont="1" applyFill="1" applyBorder="1" applyAlignment="1" applyProtection="1">
      <alignment horizontal="left" vertical="center" indent="2"/>
      <protection locked="0"/>
    </xf>
    <xf numFmtId="0" fontId="5" fillId="7" borderId="5" xfId="0" applyFont="1" applyFill="1" applyBorder="1" applyAlignment="1" applyProtection="1">
      <alignment horizontal="left" vertical="center" indent="2"/>
      <protection locked="0"/>
    </xf>
    <xf numFmtId="0" fontId="2" fillId="7" borderId="1" xfId="0" applyFont="1" applyFill="1" applyBorder="1" applyAlignment="1" applyProtection="1">
      <alignment horizontal="center" vertical="center" wrapText="1"/>
      <protection locked="0"/>
    </xf>
    <xf numFmtId="44" fontId="2" fillId="2" borderId="0" xfId="0" applyNumberFormat="1" applyFont="1" applyFill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4" fillId="14" borderId="3" xfId="0" applyFont="1" applyFill="1" applyBorder="1" applyAlignment="1" applyProtection="1">
      <alignment horizontal="left" vertical="center" wrapText="1"/>
      <protection locked="0"/>
    </xf>
    <xf numFmtId="0" fontId="4" fillId="14" borderId="4" xfId="0" applyFont="1" applyFill="1" applyBorder="1" applyAlignment="1" applyProtection="1">
      <alignment horizontal="left" vertical="center" wrapText="1"/>
      <protection locked="0"/>
    </xf>
    <xf numFmtId="0" fontId="16" fillId="0" borderId="0" xfId="0" applyFont="1" applyAlignment="1">
      <alignment horizontal="center" vertical="center" textRotation="90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 applyProtection="1">
      <alignment horizontal="left" vertical="center" wrapText="1"/>
      <protection locked="0"/>
    </xf>
    <xf numFmtId="0" fontId="4" fillId="13" borderId="4" xfId="0" applyFont="1" applyFill="1" applyBorder="1" applyAlignment="1" applyProtection="1">
      <alignment horizontal="left" vertical="center" wrapText="1"/>
      <protection locked="0"/>
    </xf>
    <xf numFmtId="0" fontId="15" fillId="2" borderId="13" xfId="0" applyFont="1" applyFill="1" applyBorder="1" applyAlignment="1">
      <alignment horizontal="left" vertical="center" wrapText="1"/>
    </xf>
    <xf numFmtId="0" fontId="15" fillId="2" borderId="8" xfId="0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horizontal="left" vertical="center" wrapText="1"/>
    </xf>
    <xf numFmtId="0" fontId="15" fillId="2" borderId="5" xfId="0" applyFont="1" applyFill="1" applyBorder="1" applyAlignment="1">
      <alignment horizontal="left" vertical="center" wrapText="1"/>
    </xf>
    <xf numFmtId="0" fontId="15" fillId="6" borderId="14" xfId="0" applyFont="1" applyFill="1" applyBorder="1" applyAlignment="1">
      <alignment horizontal="left" vertical="center" wrapText="1"/>
    </xf>
    <xf numFmtId="0" fontId="15" fillId="6" borderId="0" xfId="0" applyFont="1" applyFill="1" applyAlignment="1">
      <alignment horizontal="left" vertical="center" wrapText="1"/>
    </xf>
    <xf numFmtId="44" fontId="2" fillId="6" borderId="9" xfId="1" applyFont="1" applyFill="1" applyBorder="1" applyAlignment="1" applyProtection="1">
      <alignment vertical="center"/>
    </xf>
    <xf numFmtId="0" fontId="25" fillId="10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E1CCF0"/>
      <color rgb="FFD1B2E8"/>
      <color rgb="FFE3D5BB"/>
      <color rgb="FFECD9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29</xdr:row>
      <xdr:rowOff>28574</xdr:rowOff>
    </xdr:from>
    <xdr:to>
      <xdr:col>16</xdr:col>
      <xdr:colOff>0</xdr:colOff>
      <xdr:row>37</xdr:row>
      <xdr:rowOff>9526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132EF98-9C31-4B6C-90A3-8218D7C13C35}"/>
            </a:ext>
          </a:extLst>
        </xdr:cNvPr>
        <xdr:cNvSpPr txBox="1"/>
      </xdr:nvSpPr>
      <xdr:spPr>
        <a:xfrm>
          <a:off x="847725" y="9591674"/>
          <a:ext cx="12401550" cy="14287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chemeClr val="bg2">
                  <a:lumMod val="75000"/>
                </a:schemeClr>
              </a:solidFill>
            </a:rPr>
            <a:t>FOR ACCOUNTING USE</a:t>
          </a:r>
        </a:p>
        <a:p>
          <a:endParaRPr lang="en-US" sz="1100">
            <a:solidFill>
              <a:schemeClr val="bg2">
                <a:lumMod val="75000"/>
              </a:schemeClr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DATE RECEIVED</a:t>
          </a:r>
          <a:r>
            <a:rPr lang="en-US" sz="1100">
              <a:solidFill>
                <a:schemeClr val="bg2">
                  <a:lumMod val="75000"/>
                </a:schemeClr>
              </a:solidFill>
            </a:rPr>
            <a:t>	 </a:t>
          </a:r>
          <a:r>
            <a:rPr lang="en-US" sz="1100" u="sng">
              <a:solidFill>
                <a:schemeClr val="bg2">
                  <a:lumMod val="75000"/>
                </a:schemeClr>
              </a:solidFill>
            </a:rPr>
            <a:t>		</a:t>
          </a:r>
          <a:r>
            <a:rPr lang="en-US" sz="1100" u="none">
              <a:solidFill>
                <a:schemeClr val="bg2">
                  <a:lumMod val="75000"/>
                </a:schemeClr>
              </a:solidFill>
            </a:rPr>
            <a:t>	ENTERED IN SPAR	</a:t>
          </a:r>
          <a:r>
            <a:rPr lang="en-US" sz="1100" u="sng">
              <a:solidFill>
                <a:schemeClr val="bg2">
                  <a:lumMod val="75000"/>
                </a:schemeClr>
              </a:solidFill>
            </a:rPr>
            <a:t>	</a:t>
          </a:r>
          <a:r>
            <a:rPr lang="en-US" sz="1100" u="none">
              <a:solidFill>
                <a:schemeClr val="bg2">
                  <a:lumMod val="75000"/>
                </a:schemeClr>
              </a:solidFill>
            </a:rPr>
            <a:t>	ENTER</a:t>
          </a:r>
          <a:r>
            <a:rPr lang="en-US" sz="1100" u="none" baseline="0">
              <a:solidFill>
                <a:schemeClr val="bg2">
                  <a:lumMod val="75000"/>
                </a:schemeClr>
              </a:solidFill>
            </a:rPr>
            <a:t> FOR PAYROLL DATE </a:t>
          </a:r>
          <a:r>
            <a:rPr lang="en-US" sz="1100" u="sng" baseline="0">
              <a:solidFill>
                <a:schemeClr val="bg2">
                  <a:lumMod val="75000"/>
                </a:schemeClr>
              </a:solidFill>
            </a:rPr>
            <a:t>				</a:t>
          </a:r>
          <a:endParaRPr lang="en-US" sz="1100">
            <a:solidFill>
              <a:schemeClr val="bg2">
                <a:lumMod val="75000"/>
              </a:schemeClr>
            </a:solidFill>
          </a:endParaRPr>
        </a:p>
        <a:p>
          <a:endParaRPr lang="en-US" sz="1100">
            <a:solidFill>
              <a:schemeClr val="bg2">
                <a:lumMod val="75000"/>
              </a:schemeClr>
            </a:solidFill>
          </a:endParaRPr>
        </a:p>
        <a:p>
          <a:r>
            <a:rPr lang="en-US" sz="1100">
              <a:solidFill>
                <a:schemeClr val="bg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REVIEWED BY </a:t>
          </a:r>
          <a:r>
            <a:rPr lang="en-US" sz="1100" u="sng">
              <a:solidFill>
                <a:schemeClr val="bg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US" sz="1100" u="none">
              <a:solidFill>
                <a:schemeClr val="bg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	ENTERED IN DEFERRED COMM	</a:t>
          </a:r>
          <a:r>
            <a:rPr lang="en-US" sz="1100" u="sng">
              <a:solidFill>
                <a:schemeClr val="bg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	</a:t>
          </a:r>
          <a:r>
            <a:rPr lang="en-US" sz="1100" u="none">
              <a:solidFill>
                <a:schemeClr val="bg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	TO BE PAID ON PAYCHECK</a:t>
          </a:r>
          <a:r>
            <a:rPr lang="en-US" sz="1100" u="none" baseline="0">
              <a:solidFill>
                <a:schemeClr val="bg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DATE </a:t>
          </a:r>
          <a:r>
            <a:rPr lang="en-US" sz="1100" u="sng" baseline="0">
              <a:solidFill>
                <a:schemeClr val="bg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			</a:t>
          </a:r>
          <a:endParaRPr lang="en-US" sz="1100">
            <a:solidFill>
              <a:schemeClr val="bg2">
                <a:lumMod val="75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9"/>
  <sheetViews>
    <sheetView tabSelected="1" zoomScale="80" zoomScaleNormal="80" workbookViewId="0">
      <pane xSplit="1" ySplit="8" topLeftCell="B10" activePane="bottomRight" state="frozen"/>
      <selection pane="topRight" activeCell="B1" sqref="B1"/>
      <selection pane="bottomLeft" activeCell="A8" sqref="A8"/>
      <selection pane="bottomRight" activeCell="F6" sqref="F6"/>
    </sheetView>
  </sheetViews>
  <sheetFormatPr defaultColWidth="9.109375" defaultRowHeight="13.8"/>
  <cols>
    <col min="1" max="1" width="9.88671875" style="19" customWidth="1"/>
    <col min="2" max="2" width="18.44140625" style="20" customWidth="1"/>
    <col min="3" max="3" width="20.44140625" style="20" customWidth="1"/>
    <col min="4" max="4" width="9" style="20" customWidth="1"/>
    <col min="5" max="5" width="5.33203125" style="20" customWidth="1"/>
    <col min="6" max="6" width="28.5546875" style="21" bestFit="1" customWidth="1"/>
    <col min="7" max="7" width="15.44140625" style="19" bestFit="1" customWidth="1"/>
    <col min="8" max="8" width="10.109375" style="19" customWidth="1"/>
    <col min="9" max="9" width="9.6640625" style="19" customWidth="1"/>
    <col min="10" max="10" width="11.33203125" style="19" hidden="1" customWidth="1"/>
    <col min="11" max="11" width="14.109375" style="19" customWidth="1"/>
    <col min="12" max="12" width="12.88671875" style="19" customWidth="1"/>
    <col min="13" max="13" width="12.6640625" style="19" customWidth="1"/>
    <col min="14" max="14" width="15" style="19" customWidth="1"/>
    <col min="15" max="15" width="15.109375" style="19" bestFit="1" customWidth="1"/>
    <col min="16" max="16" width="15" style="19" customWidth="1"/>
    <col min="17" max="17" width="4" style="19" hidden="1" customWidth="1"/>
    <col min="18" max="18" width="3.109375" style="19" customWidth="1"/>
    <col min="19" max="16384" width="9.109375" style="19"/>
  </cols>
  <sheetData>
    <row r="1" spans="1:17" ht="18.75" customHeight="1">
      <c r="B1" s="135" t="s">
        <v>10</v>
      </c>
      <c r="C1" s="135"/>
      <c r="D1" s="114"/>
      <c r="E1" s="114"/>
      <c r="F1" s="144" t="s">
        <v>13</v>
      </c>
      <c r="G1" s="148"/>
      <c r="H1" s="148"/>
      <c r="I1" s="148"/>
      <c r="J1" s="148"/>
      <c r="K1" s="149"/>
      <c r="M1" s="157" t="s">
        <v>20</v>
      </c>
      <c r="N1" s="152"/>
      <c r="O1" s="153"/>
      <c r="P1" s="154"/>
    </row>
    <row r="2" spans="1:17" ht="25.5" customHeight="1">
      <c r="B2" s="135" t="s">
        <v>11</v>
      </c>
      <c r="C2" s="135"/>
      <c r="D2" s="114"/>
      <c r="E2" s="114"/>
      <c r="F2" s="145"/>
      <c r="G2" s="150"/>
      <c r="H2" s="150"/>
      <c r="I2" s="150"/>
      <c r="J2" s="150"/>
      <c r="K2" s="151"/>
      <c r="M2" s="158"/>
      <c r="N2" s="155"/>
      <c r="O2" s="155"/>
      <c r="P2" s="156"/>
    </row>
    <row r="3" spans="1:17" ht="8.25" customHeight="1"/>
    <row r="4" spans="1:17" ht="17.399999999999999">
      <c r="B4" s="136" t="s">
        <v>8</v>
      </c>
      <c r="C4" s="136"/>
      <c r="D4" s="115"/>
      <c r="E4" s="115"/>
      <c r="F4" s="2" t="s">
        <v>54</v>
      </c>
      <c r="G4" s="168" t="s">
        <v>2</v>
      </c>
      <c r="H4" s="168"/>
      <c r="I4" s="169"/>
      <c r="J4" s="170"/>
      <c r="K4" s="170"/>
      <c r="L4" s="170"/>
      <c r="M4" s="171"/>
      <c r="N4" s="163" t="s">
        <v>33</v>
      </c>
      <c r="O4" s="159"/>
      <c r="P4" s="160"/>
    </row>
    <row r="5" spans="1:17" ht="17.399999999999999">
      <c r="B5" s="137" t="s">
        <v>28</v>
      </c>
      <c r="C5" s="137"/>
      <c r="D5" s="116"/>
      <c r="E5" s="116"/>
      <c r="F5" s="168" t="s">
        <v>14</v>
      </c>
      <c r="G5" s="168"/>
      <c r="H5" s="168"/>
      <c r="I5" s="165"/>
      <c r="J5" s="166"/>
      <c r="K5" s="166"/>
      <c r="L5" s="166"/>
      <c r="M5" s="167"/>
      <c r="N5" s="164"/>
      <c r="O5" s="161"/>
      <c r="P5" s="162"/>
    </row>
    <row r="6" spans="1:17" ht="28.5" customHeight="1">
      <c r="B6" s="180" t="s">
        <v>52</v>
      </c>
      <c r="C6" s="181"/>
      <c r="D6" s="181"/>
      <c r="E6" s="182"/>
      <c r="F6" s="1"/>
      <c r="K6" s="22"/>
      <c r="L6" s="195" t="s">
        <v>53</v>
      </c>
      <c r="M6" s="195"/>
      <c r="N6" s="23" t="s">
        <v>37</v>
      </c>
      <c r="O6" s="159"/>
      <c r="P6" s="160"/>
    </row>
    <row r="7" spans="1:17" ht="6" customHeight="1">
      <c r="A7" s="117"/>
      <c r="B7" s="24"/>
      <c r="C7" s="24"/>
      <c r="D7" s="24"/>
      <c r="E7" s="24"/>
      <c r="F7" s="25"/>
      <c r="K7" s="22"/>
      <c r="L7" s="26"/>
      <c r="M7" s="26"/>
      <c r="N7" s="22"/>
    </row>
    <row r="8" spans="1:17" ht="45.75" customHeight="1">
      <c r="A8" s="117"/>
      <c r="B8" s="183" t="s">
        <v>6</v>
      </c>
      <c r="C8" s="184"/>
      <c r="D8" s="184"/>
      <c r="E8" s="185"/>
      <c r="F8" s="27" t="s">
        <v>47</v>
      </c>
      <c r="G8" s="28" t="s">
        <v>16</v>
      </c>
      <c r="H8" s="29"/>
      <c r="I8" s="30"/>
      <c r="J8" s="30" t="s">
        <v>5</v>
      </c>
      <c r="K8" s="31" t="s">
        <v>7</v>
      </c>
      <c r="L8" s="29" t="s">
        <v>18</v>
      </c>
      <c r="M8" s="29" t="s">
        <v>19</v>
      </c>
      <c r="N8" s="31" t="s">
        <v>17</v>
      </c>
      <c r="O8" s="31" t="s">
        <v>15</v>
      </c>
      <c r="P8" s="32" t="s">
        <v>36</v>
      </c>
      <c r="Q8" s="33"/>
    </row>
    <row r="9" spans="1:17" ht="29.1" customHeight="1">
      <c r="A9" s="179"/>
      <c r="B9" s="188" t="s">
        <v>50</v>
      </c>
      <c r="C9" s="189"/>
      <c r="D9" s="189"/>
      <c r="E9" s="189"/>
      <c r="F9" s="189"/>
      <c r="G9" s="189"/>
      <c r="H9" s="189"/>
      <c r="I9" s="189"/>
      <c r="J9" s="190"/>
      <c r="K9" s="189"/>
      <c r="L9" s="189"/>
      <c r="M9" s="189"/>
      <c r="N9" s="189"/>
      <c r="O9" s="189"/>
      <c r="P9" s="191"/>
      <c r="Q9" s="34"/>
    </row>
    <row r="10" spans="1:17" ht="29.25" customHeight="1">
      <c r="A10" s="179"/>
      <c r="B10" s="186" t="s">
        <v>55</v>
      </c>
      <c r="C10" s="186"/>
      <c r="D10" s="186"/>
      <c r="E10" s="187"/>
      <c r="F10" s="6"/>
      <c r="G10" s="35">
        <f>IF(B10="Property:  Cremation",0.15,IF(B10="Property:  Non-Cremation",0.08,IF(B10="Merchandise",0.05,0)))</f>
        <v>0.05</v>
      </c>
      <c r="H10" s="173"/>
      <c r="I10" s="173"/>
      <c r="J10" s="36" t="s">
        <v>1</v>
      </c>
      <c r="K10" s="9">
        <f>SUM(F10*G10)</f>
        <v>0</v>
      </c>
      <c r="L10" s="7"/>
      <c r="M10" s="8"/>
      <c r="N10" s="37">
        <f>IFERROR(SUM(O10/F10),G10)</f>
        <v>0.05</v>
      </c>
      <c r="O10" s="9">
        <f>SUM(K10+IF(L10&gt;0,L10*F10,IF(L10&lt;0,F10*L10,IF(M10&lt;&gt;0,M10))))</f>
        <v>0</v>
      </c>
      <c r="P10" s="38"/>
      <c r="Q10" s="39"/>
    </row>
    <row r="11" spans="1:17" ht="29.25" customHeight="1">
      <c r="A11" s="179"/>
      <c r="B11" s="186"/>
      <c r="C11" s="186"/>
      <c r="D11" s="186"/>
      <c r="E11" s="187"/>
      <c r="F11" s="6"/>
      <c r="G11" s="35">
        <f>IF(B11="Property:  Cremation",0.15,IF(B11="Property:  Non-Cremation",0.08,IF(B11="Merchandise",0.05,0)))</f>
        <v>0</v>
      </c>
      <c r="H11" s="173"/>
      <c r="I11" s="173"/>
      <c r="J11" s="36"/>
      <c r="K11" s="9">
        <f>SUM(F11*G11)</f>
        <v>0</v>
      </c>
      <c r="L11" s="7"/>
      <c r="M11" s="8"/>
      <c r="N11" s="37">
        <f>IFERROR(SUM(O11/F11),G11)</f>
        <v>0</v>
      </c>
      <c r="O11" s="9">
        <f>SUM(K11+IF(L11&gt;0,L11*F11,IF(L11&lt;0,F11*L11,IF(M11&lt;&gt;0,M11))))</f>
        <v>0</v>
      </c>
      <c r="P11" s="38"/>
      <c r="Q11" s="39"/>
    </row>
    <row r="12" spans="1:17" ht="29.25" customHeight="1">
      <c r="A12" s="179"/>
      <c r="B12" s="186"/>
      <c r="C12" s="186"/>
      <c r="D12" s="186"/>
      <c r="E12" s="187"/>
      <c r="F12" s="6"/>
      <c r="G12" s="35">
        <f>IF(B12="Property:  Cremation",0.15,IF(B12="Property:  Non-Cremation",0.08,IF(B12="Merchandise",0.05,0)))</f>
        <v>0</v>
      </c>
      <c r="H12" s="173"/>
      <c r="I12" s="173"/>
      <c r="J12" s="36" t="s">
        <v>1</v>
      </c>
      <c r="K12" s="9">
        <f>SUM(F12*G12)</f>
        <v>0</v>
      </c>
      <c r="L12" s="7"/>
      <c r="M12" s="8"/>
      <c r="N12" s="40">
        <f>IFERROR(SUM(O12/F12),G12)</f>
        <v>0</v>
      </c>
      <c r="O12" s="41">
        <f>SUM(K12+IF(L12&gt;0,L12*F12,IF(L12&lt;0,F12*L12,IF(M12&lt;&gt;0,M12))))</f>
        <v>0</v>
      </c>
      <c r="P12" s="42"/>
      <c r="Q12" s="39"/>
    </row>
    <row r="13" spans="1:17" ht="15" customHeight="1">
      <c r="A13" s="179"/>
      <c r="B13" s="43"/>
      <c r="C13" s="24"/>
      <c r="D13" s="24"/>
      <c r="E13" s="24"/>
      <c r="F13" s="25"/>
      <c r="G13" s="44"/>
      <c r="H13" s="119"/>
      <c r="I13" s="119"/>
      <c r="J13" s="45"/>
      <c r="K13" s="119"/>
      <c r="L13" s="46"/>
      <c r="M13" s="47"/>
      <c r="N13" s="48"/>
      <c r="O13" s="47"/>
      <c r="P13" s="49"/>
      <c r="Q13" s="50"/>
    </row>
    <row r="14" spans="1:17" ht="29.4" customHeight="1">
      <c r="A14" s="179"/>
      <c r="B14" s="142" t="s">
        <v>51</v>
      </c>
      <c r="C14" s="143"/>
      <c r="D14" s="143"/>
      <c r="E14" s="143"/>
      <c r="F14" s="143"/>
      <c r="G14" s="122"/>
      <c r="H14" s="123"/>
      <c r="I14" s="123"/>
      <c r="J14" s="124"/>
      <c r="K14" s="123"/>
      <c r="L14" s="125"/>
      <c r="M14" s="126"/>
      <c r="N14" s="127"/>
      <c r="O14" s="126"/>
      <c r="P14" s="56"/>
      <c r="Q14" s="120"/>
    </row>
    <row r="15" spans="1:17" ht="14.4" thickBot="1">
      <c r="A15" s="179"/>
      <c r="B15" s="141"/>
      <c r="C15" s="141"/>
      <c r="D15" s="141"/>
      <c r="E15" s="141"/>
      <c r="F15" s="133"/>
      <c r="G15" s="131"/>
      <c r="H15" s="132"/>
      <c r="I15" s="132"/>
      <c r="J15" s="121"/>
      <c r="K15" s="146"/>
      <c r="L15" s="146"/>
      <c r="M15" s="146"/>
      <c r="N15" s="146"/>
      <c r="O15" s="146"/>
      <c r="P15" s="147"/>
      <c r="Q15" s="51">
        <v>0.01</v>
      </c>
    </row>
    <row r="16" spans="1:17" ht="29.25" customHeight="1">
      <c r="A16" s="179"/>
      <c r="B16" s="177"/>
      <c r="C16" s="177"/>
      <c r="D16" s="177"/>
      <c r="E16" s="178"/>
      <c r="F16" s="10"/>
      <c r="G16" s="52">
        <f>IF(B16="Property:  Cremation",0.15,IF(B16="Property:  Non-Cremation",0.1,IF(B16="Merchandise",0.05,0)))</f>
        <v>0</v>
      </c>
      <c r="H16" s="123"/>
      <c r="I16" s="123"/>
      <c r="J16" s="53"/>
      <c r="K16" s="54">
        <f>SUM(F16*G16)</f>
        <v>0</v>
      </c>
      <c r="L16" s="11"/>
      <c r="M16" s="12"/>
      <c r="N16" s="55">
        <f>IFERROR(SUM(O16/F16),G16)</f>
        <v>0</v>
      </c>
      <c r="O16" s="54">
        <f>IF(B16="Rewrite Stipend:  Contract Includes Property",200,IF(B16="Rewrite Stipend:  Contract for Merch/Svc Only",100,SUM(K16+IF(L16&gt;0,L16*F16,IF(L16&lt;0,F16*L16,IF(M16&lt;&gt;0,M16))))))</f>
        <v>0</v>
      </c>
      <c r="P16" s="56"/>
      <c r="Q16" s="57"/>
    </row>
    <row r="17" spans="1:17" ht="29.25" customHeight="1">
      <c r="A17" s="179"/>
      <c r="B17" s="177"/>
      <c r="C17" s="177"/>
      <c r="D17" s="177"/>
      <c r="E17" s="178"/>
      <c r="F17" s="10"/>
      <c r="G17" s="52">
        <f>IF(B17="Property:  Cremation",0.15,IF(B17="Property:  Non-Cremation",0.1,IF(B17="Merchandise",0.05,0)))</f>
        <v>0</v>
      </c>
      <c r="H17" s="175"/>
      <c r="I17" s="175"/>
      <c r="J17" s="58"/>
      <c r="K17" s="54">
        <f>SUM(F17*G17)</f>
        <v>0</v>
      </c>
      <c r="L17" s="11"/>
      <c r="M17" s="12"/>
      <c r="N17" s="55">
        <f>IFERROR(SUM(O17/F17),G17)</f>
        <v>0</v>
      </c>
      <c r="O17" s="54">
        <f t="shared" ref="O17:O18" si="0">IF(B17="Rewrite Stipend:  Contract Includes Property",200,IF(B17="Rewrite Stipend:  Contract for Merch/Svc Only",100,SUM(K17+IF(L17&gt;0,L17*F17,IF(L17&lt;0,F17*L17,IF(M17&lt;&gt;0,M17))))))</f>
        <v>0</v>
      </c>
      <c r="P17" s="56"/>
      <c r="Q17" s="59"/>
    </row>
    <row r="18" spans="1:17" ht="29.25" customHeight="1">
      <c r="A18" s="179"/>
      <c r="B18" s="177"/>
      <c r="C18" s="177"/>
      <c r="D18" s="177"/>
      <c r="E18" s="178"/>
      <c r="F18" s="10"/>
      <c r="G18" s="52">
        <f>IF(B18="Property:  Cremation",0.15,IF(B18="Property:  Non-Cremation",0.1,IF(B18="Merchandise",0.05,0)))</f>
        <v>0</v>
      </c>
      <c r="H18" s="176"/>
      <c r="I18" s="176"/>
      <c r="J18" s="58"/>
      <c r="K18" s="54">
        <f>SUM(F18*G18)</f>
        <v>0</v>
      </c>
      <c r="L18" s="11"/>
      <c r="M18" s="12"/>
      <c r="N18" s="60">
        <f t="shared" ref="N18:N20" si="1">IFERROR(SUM(O18/F18),G18)</f>
        <v>0</v>
      </c>
      <c r="O18" s="54">
        <f t="shared" si="0"/>
        <v>0</v>
      </c>
      <c r="P18" s="61"/>
      <c r="Q18" s="57"/>
    </row>
    <row r="19" spans="1:17" ht="15" customHeight="1">
      <c r="A19" s="179"/>
      <c r="B19" s="62"/>
      <c r="C19" s="24"/>
      <c r="D19" s="24"/>
      <c r="E19" s="24"/>
      <c r="F19" s="63"/>
      <c r="G19" s="64"/>
      <c r="H19" s="24"/>
      <c r="I19" s="24"/>
      <c r="J19" s="64"/>
      <c r="K19" s="47"/>
      <c r="L19" s="46"/>
      <c r="M19" s="47"/>
      <c r="N19" s="48"/>
      <c r="O19" s="47"/>
      <c r="P19" s="49"/>
      <c r="Q19" s="65"/>
    </row>
    <row r="20" spans="1:17" ht="29.25" customHeight="1">
      <c r="A20" s="179"/>
      <c r="B20" s="138" t="s">
        <v>24</v>
      </c>
      <c r="C20" s="139"/>
      <c r="D20" s="139"/>
      <c r="E20" s="140"/>
      <c r="F20" s="13"/>
      <c r="G20" s="97">
        <v>0.03</v>
      </c>
      <c r="H20" s="66"/>
      <c r="I20" s="66"/>
      <c r="J20" s="67" t="s">
        <v>1</v>
      </c>
      <c r="K20" s="66">
        <f>SUM(F20*G20)</f>
        <v>0</v>
      </c>
      <c r="L20" s="15"/>
      <c r="M20" s="16"/>
      <c r="N20" s="68">
        <f t="shared" si="1"/>
        <v>0.03</v>
      </c>
      <c r="O20" s="66">
        <f>SUM(K20+IF(L20&gt;0,L20*F20,IF(L20&lt;0,F20*L20,IF(M20&lt;&gt;0,M20))))</f>
        <v>0</v>
      </c>
      <c r="P20" s="69"/>
      <c r="Q20" s="59"/>
    </row>
    <row r="21" spans="1:17" ht="29.25" customHeight="1">
      <c r="A21" s="179"/>
      <c r="B21" s="192" t="s">
        <v>25</v>
      </c>
      <c r="C21" s="193"/>
      <c r="D21" s="118" t="s">
        <v>48</v>
      </c>
      <c r="E21" s="134"/>
      <c r="F21" s="14"/>
      <c r="G21" s="70">
        <v>85</v>
      </c>
      <c r="H21" s="194"/>
      <c r="I21" s="194"/>
      <c r="J21" s="71" t="s">
        <v>1</v>
      </c>
      <c r="K21" s="72">
        <f>IFERROR(IF(F21&gt;0,G21,0),0)</f>
        <v>0</v>
      </c>
      <c r="L21" s="17"/>
      <c r="M21" s="18"/>
      <c r="N21" s="73" t="s">
        <v>1</v>
      </c>
      <c r="O21" s="66">
        <f>SUM(K21+IF(L21&gt;0,L21*F21,IF(L21&lt;0,F21*L21,IF(M21&lt;&gt;0,M21))))</f>
        <v>0</v>
      </c>
      <c r="P21" s="74"/>
      <c r="Q21" s="39"/>
    </row>
    <row r="22" spans="1:17" s="75" customFormat="1" ht="24" customHeight="1">
      <c r="A22" s="179"/>
      <c r="B22" s="76"/>
      <c r="C22" s="76"/>
      <c r="D22" s="76"/>
      <c r="E22" s="76"/>
      <c r="F22" s="77">
        <f>SUM(F10:F12)+SUM(F16:F18)+SUM(F20:F21)</f>
        <v>0</v>
      </c>
      <c r="G22" s="78"/>
      <c r="H22" s="79"/>
      <c r="I22" s="79"/>
      <c r="J22" s="79"/>
      <c r="K22" s="77">
        <f>SUM(K10:K12)+SUM(K16:K18)+SUM(K20:K21)</f>
        <v>0</v>
      </c>
      <c r="L22" s="80"/>
      <c r="M22" s="81"/>
      <c r="N22" s="77"/>
      <c r="O22" s="82">
        <f>SUM(O10:O12)+SUM(O16:O18)+SUM(O20:O21)</f>
        <v>0</v>
      </c>
      <c r="P22" s="83"/>
      <c r="Q22" s="84"/>
    </row>
    <row r="23" spans="1:17" ht="17.399999999999999">
      <c r="A23" s="179"/>
      <c r="B23" s="24"/>
      <c r="C23" s="24"/>
      <c r="D23" s="24"/>
      <c r="E23" s="24"/>
      <c r="F23" s="85"/>
      <c r="M23" s="86"/>
    </row>
    <row r="24" spans="1:17" ht="38.25" customHeight="1">
      <c r="A24" s="179"/>
      <c r="B24" s="197" t="s">
        <v>12</v>
      </c>
      <c r="C24" s="197"/>
      <c r="D24" s="197"/>
      <c r="E24" s="197"/>
      <c r="F24" s="197"/>
      <c r="G24" s="197"/>
      <c r="H24" s="197"/>
      <c r="I24" s="87" t="s">
        <v>0</v>
      </c>
      <c r="J24" s="87"/>
      <c r="K24" s="88" t="s">
        <v>38</v>
      </c>
      <c r="L24" s="89" t="s">
        <v>49</v>
      </c>
      <c r="M24" s="89" t="s">
        <v>39</v>
      </c>
      <c r="N24" s="90" t="s">
        <v>35</v>
      </c>
      <c r="O24" s="87" t="s">
        <v>23</v>
      </c>
      <c r="P24" s="91"/>
    </row>
    <row r="25" spans="1:17" s="22" customFormat="1" ht="20.25" customHeight="1">
      <c r="A25" s="179"/>
      <c r="B25" s="174" t="s">
        <v>8</v>
      </c>
      <c r="C25" s="174"/>
      <c r="D25" s="113"/>
      <c r="E25" s="113"/>
      <c r="F25" s="196" t="str">
        <f>F4</f>
        <v>Martice Morrison</v>
      </c>
      <c r="G25" s="196"/>
      <c r="H25" s="196"/>
      <c r="I25" s="92">
        <f>100%-I26-I27-I28</f>
        <v>1</v>
      </c>
      <c r="J25" s="92"/>
      <c r="K25" s="93">
        <f>$O$22*I25</f>
        <v>0</v>
      </c>
      <c r="L25" s="93">
        <f ca="1">SUMIF($B$16:$E$18,"Merchandise &amp; Setting Fees",$F$16:$F$18)*'Do Not Delete'!$P$2*I25+SUMIF($B$16:$E$18,"Merchandise/Setting Fees on RIC After Date of Death",$F$16:$F$18)*'Do Not Delete'!$P$2*I25</f>
        <v>0</v>
      </c>
      <c r="M25" s="129" t="e">
        <f>SUM(K25-N25)</f>
        <v>#REF!</v>
      </c>
      <c r="N25" s="130" t="e">
        <f>IF(I25=0,0,IF(#REF!&gt;0,0,IF(I25&gt;0,IF(SUM(K25+L25)&gt;$F$6*I25,SUM(K25+L25)-SUM($F$6*I25),0))))</f>
        <v>#REF!</v>
      </c>
      <c r="O25" s="96"/>
    </row>
    <row r="26" spans="1:17" s="22" customFormat="1" ht="20.25" customHeight="1">
      <c r="A26" s="179"/>
      <c r="B26" s="174" t="s">
        <v>9</v>
      </c>
      <c r="C26" s="174"/>
      <c r="D26" s="113"/>
      <c r="E26" s="113"/>
      <c r="F26" s="172"/>
      <c r="G26" s="172"/>
      <c r="H26" s="172"/>
      <c r="I26" s="5">
        <v>0</v>
      </c>
      <c r="J26" s="94"/>
      <c r="K26" s="93">
        <f t="shared" ref="K26:K28" si="2">$O$22*I26</f>
        <v>0</v>
      </c>
      <c r="L26" s="93">
        <f ca="1">SUMIF($B$16:$E$18,"Merchandise &amp; Setting Fees",$F$16:$F$18)*'Do Not Delete'!$P$2*I26+SUMIF($B$16:$E$18,"Merchandise/Setting Fees on RIC After Date of Death",$F$16:$F$18)*'Do Not Delete'!$P$2*I26</f>
        <v>0</v>
      </c>
      <c r="M26" s="129">
        <f t="shared" ref="M26:M28" si="3">SUM(K26-N26)</f>
        <v>0</v>
      </c>
      <c r="N26" s="130">
        <f>IF(I26=0,0,IF(#REF!&gt;0,0,IF(I26&gt;0,IF(SUM(K26+L26)&gt;$F$6*I26,SUM(K26+L26)-SUM($F$6*I26),0))))</f>
        <v>0</v>
      </c>
      <c r="O26" s="96"/>
      <c r="P26" s="95"/>
    </row>
    <row r="27" spans="1:17" s="22" customFormat="1" ht="20.25" customHeight="1">
      <c r="A27" s="179"/>
      <c r="B27" s="174" t="s">
        <v>9</v>
      </c>
      <c r="C27" s="174"/>
      <c r="D27" s="113"/>
      <c r="E27" s="113"/>
      <c r="F27" s="172"/>
      <c r="G27" s="172"/>
      <c r="H27" s="172"/>
      <c r="I27" s="5">
        <v>0</v>
      </c>
      <c r="J27" s="94"/>
      <c r="K27" s="93">
        <f t="shared" si="2"/>
        <v>0</v>
      </c>
      <c r="L27" s="93">
        <f ca="1">SUMIF($B$16:$E$18,"Merchandise &amp; Setting Fees",$F$16:$F$18)*'Do Not Delete'!$P$2*I27+SUMIF($B$16:$E$18,"Merchandise/Setting Fees on RIC After Date of Death",$F$16:$F$18)*'Do Not Delete'!$P$2*I27</f>
        <v>0</v>
      </c>
      <c r="M27" s="129">
        <f t="shared" si="3"/>
        <v>0</v>
      </c>
      <c r="N27" s="130">
        <f>IF(I27=0,0,IF(#REF!&gt;0,0,IF(I27&gt;0,IF(SUM(K27+L27)&gt;$F$6*I27,SUM(K27+L27)-SUM($F$6*I27),0))))</f>
        <v>0</v>
      </c>
      <c r="O27" s="96"/>
    </row>
    <row r="28" spans="1:17" s="22" customFormat="1" ht="20.25" customHeight="1">
      <c r="A28" s="179"/>
      <c r="B28" s="174" t="s">
        <v>9</v>
      </c>
      <c r="C28" s="174"/>
      <c r="D28" s="113"/>
      <c r="E28" s="113"/>
      <c r="F28" s="172"/>
      <c r="G28" s="172"/>
      <c r="H28" s="172"/>
      <c r="I28" s="5">
        <v>0</v>
      </c>
      <c r="J28" s="94"/>
      <c r="K28" s="93">
        <f t="shared" si="2"/>
        <v>0</v>
      </c>
      <c r="L28" s="93">
        <f ca="1">SUMIF($B$16:$E$18,"Merchandise &amp; Setting Fees",$F$16:$F$18)*'Do Not Delete'!$P$2*I28+SUMIF($B$16:$E$18,"Merchandise/Setting Fees on RIC After Date of Death",$F$16:$F$18)*'Do Not Delete'!$P$2*I28</f>
        <v>0</v>
      </c>
      <c r="M28" s="129">
        <f t="shared" si="3"/>
        <v>0</v>
      </c>
      <c r="N28" s="130">
        <f>IF(I28=0,0,IF(#REF!&gt;0,0,IF(I28&gt;0,IF(SUM(K28+L28)&gt;$F$6*I28,SUM(K28+L28)-SUM($F$6*I28),0))))</f>
        <v>0</v>
      </c>
      <c r="O28" s="96"/>
    </row>
    <row r="29" spans="1:17" ht="6" customHeight="1"/>
  </sheetData>
  <sheetProtection algorithmName="SHA-512" hashValue="3/APIl8Q02Wyv2s6XoLdFc3GcMTLaWs7M3bRmtujvo0whs0lmYukwp9r35LB2UWU9vKQyJKPmXZzSvrVSF1MBA==" saltValue="hAVhmbcGHh8Iz7I1Y+6LTg==" spinCount="100000" sheet="1" selectLockedCells="1"/>
  <sortState xmlns:xlrd2="http://schemas.microsoft.com/office/spreadsheetml/2017/richdata2" ref="A16:Q18">
    <sortCondition ref="B16:B18"/>
  </sortState>
  <mergeCells count="43">
    <mergeCell ref="A9:A28"/>
    <mergeCell ref="B6:E6"/>
    <mergeCell ref="B8:E8"/>
    <mergeCell ref="B10:E10"/>
    <mergeCell ref="B11:E11"/>
    <mergeCell ref="B12:E12"/>
    <mergeCell ref="B9:P9"/>
    <mergeCell ref="B28:C28"/>
    <mergeCell ref="B21:C21"/>
    <mergeCell ref="O6:P6"/>
    <mergeCell ref="H21:I21"/>
    <mergeCell ref="F28:H28"/>
    <mergeCell ref="L6:M6"/>
    <mergeCell ref="F25:H25"/>
    <mergeCell ref="B24:H24"/>
    <mergeCell ref="F26:H26"/>
    <mergeCell ref="F27:H27"/>
    <mergeCell ref="H10:I12"/>
    <mergeCell ref="B25:C25"/>
    <mergeCell ref="B26:C26"/>
    <mergeCell ref="B27:C27"/>
    <mergeCell ref="H17:I18"/>
    <mergeCell ref="B16:E16"/>
    <mergeCell ref="B17:E17"/>
    <mergeCell ref="B18:E18"/>
    <mergeCell ref="K15:P15"/>
    <mergeCell ref="G1:K2"/>
    <mergeCell ref="N1:P2"/>
    <mergeCell ref="M1:M2"/>
    <mergeCell ref="O4:P5"/>
    <mergeCell ref="N4:N5"/>
    <mergeCell ref="I5:M5"/>
    <mergeCell ref="G4:H4"/>
    <mergeCell ref="I4:M4"/>
    <mergeCell ref="F5:H5"/>
    <mergeCell ref="B1:C1"/>
    <mergeCell ref="B2:C2"/>
    <mergeCell ref="B4:C4"/>
    <mergeCell ref="B5:C5"/>
    <mergeCell ref="B20:E20"/>
    <mergeCell ref="B15:E15"/>
    <mergeCell ref="B14:F14"/>
    <mergeCell ref="F1:F2"/>
  </mergeCells>
  <pageMargins left="0.17" right="0.25" top="0.49" bottom="0.36" header="0.47" footer="0.2"/>
  <pageSetup scale="62" orientation="landscape" r:id="rId1"/>
  <headerFooter>
    <oddFooter>&amp;L&amp;Z&amp;F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0000000}">
          <x14:formula1>
            <xm:f>'Do Not Delete'!$A$1:$A$2</xm:f>
          </x14:formula1>
          <xm:sqref>J16:J19 E21</xm:sqref>
        </x14:dataValidation>
        <x14:dataValidation type="list" allowBlank="1" showInputMessage="1" showErrorMessage="1" xr:uid="{C7EA4EF3-8048-4B9E-841D-A0E3745A10BF}">
          <x14:formula1>
            <xm:f>'Do Not Delete'!$F$2:$F$6</xm:f>
          </x14:formula1>
          <xm:sqref>B13</xm:sqref>
        </x14:dataValidation>
        <x14:dataValidation type="list" allowBlank="1" showInputMessage="1" showErrorMessage="1" xr:uid="{7292AAA0-92EB-4F9F-8F63-8B8CA81539F7}">
          <x14:formula1>
            <xm:f>'Do Not Delete'!$F$2:$F$7</xm:f>
          </x14:formula1>
          <xm:sqref>B10:B12</xm:sqref>
        </x14:dataValidation>
        <x14:dataValidation type="list" allowBlank="1" showInputMessage="1" showErrorMessage="1" xr:uid="{D8280CFC-F4EC-486B-A792-731B39364E11}">
          <x14:formula1>
            <xm:f>'Do Not Delete'!$N$2:$N$10</xm:f>
          </x14:formula1>
          <xm:sqref>F26:H28</xm:sqref>
        </x14:dataValidation>
        <x14:dataValidation type="list" allowBlank="1" showInputMessage="1" showErrorMessage="1" xr:uid="{5730B9F8-18E8-4696-8381-C8B409623B6E}">
          <x14:formula1>
            <xm:f>'Do Not Delete'!$N$1:$N$10</xm:f>
          </x14:formula1>
          <xm:sqref>F4</xm:sqref>
        </x14:dataValidation>
        <x14:dataValidation type="list" allowBlank="1" showInputMessage="1" showErrorMessage="1" xr:uid="{08344A40-1B95-46DB-ACF4-C330A9E3B171}">
          <x14:formula1>
            <xm:f>'Do Not Delete'!$J$2:$J$4</xm:f>
          </x14:formula1>
          <xm:sqref>B19</xm:sqref>
        </x14:dataValidation>
        <x14:dataValidation type="list" allowBlank="1" showInputMessage="1" showErrorMessage="1" xr:uid="{215F199B-2171-427E-9FCC-69DCE26191AD}">
          <x14:formula1>
            <xm:f>'Do Not Delete'!$J$2:$J$6</xm:f>
          </x14:formula1>
          <xm:sqref>B16:E18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7BCE4-DE93-4A14-98A2-207E77037997}">
  <sheetPr>
    <pageSetUpPr fitToPage="1"/>
  </sheetPr>
  <dimension ref="A1:E19"/>
  <sheetViews>
    <sheetView showGridLines="0" zoomScale="90" zoomScaleNormal="90" workbookViewId="0"/>
  </sheetViews>
  <sheetFormatPr defaultRowHeight="14.4"/>
  <cols>
    <col min="2" max="2" width="45" bestFit="1" customWidth="1"/>
    <col min="3" max="3" width="14.109375" customWidth="1"/>
    <col min="4" max="4" width="10" customWidth="1"/>
  </cols>
  <sheetData>
    <row r="1" spans="1:5" ht="18">
      <c r="A1" s="101" t="s">
        <v>26</v>
      </c>
      <c r="B1" s="98"/>
      <c r="C1" s="98"/>
    </row>
    <row r="2" spans="1:5">
      <c r="A2" s="98"/>
      <c r="B2" s="99" t="s">
        <v>30</v>
      </c>
      <c r="C2" s="100">
        <v>0.15</v>
      </c>
    </row>
    <row r="3" spans="1:5">
      <c r="A3" s="98"/>
      <c r="B3" s="99" t="s">
        <v>31</v>
      </c>
      <c r="C3" s="100">
        <v>0.08</v>
      </c>
    </row>
    <row r="4" spans="1:5">
      <c r="A4" s="98"/>
      <c r="B4" s="99" t="s">
        <v>32</v>
      </c>
      <c r="C4" s="100">
        <v>0.05</v>
      </c>
    </row>
    <row r="6" spans="1:5" ht="18">
      <c r="A6" s="102" t="s">
        <v>27</v>
      </c>
      <c r="B6" s="103"/>
      <c r="C6" s="103"/>
    </row>
    <row r="7" spans="1:5">
      <c r="A7" s="103"/>
      <c r="B7" s="104" t="s">
        <v>30</v>
      </c>
      <c r="C7" s="105">
        <v>0.15</v>
      </c>
    </row>
    <row r="8" spans="1:5">
      <c r="A8" s="103"/>
      <c r="B8" s="104" t="s">
        <v>31</v>
      </c>
      <c r="C8" s="105">
        <v>0.1</v>
      </c>
    </row>
    <row r="9" spans="1:5">
      <c r="A9" s="103"/>
      <c r="B9" s="104" t="s">
        <v>32</v>
      </c>
      <c r="C9" s="105">
        <v>0.05</v>
      </c>
    </row>
    <row r="10" spans="1:5">
      <c r="A10" s="103"/>
      <c r="B10" s="104"/>
      <c r="C10" s="105"/>
    </row>
    <row r="11" spans="1:5" ht="24">
      <c r="A11" s="103"/>
      <c r="B11" s="112" t="s">
        <v>43</v>
      </c>
      <c r="C11" s="105"/>
    </row>
    <row r="12" spans="1:5">
      <c r="A12" s="103"/>
      <c r="B12" s="104" t="s">
        <v>44</v>
      </c>
      <c r="C12" s="111">
        <v>200</v>
      </c>
    </row>
    <row r="13" spans="1:5">
      <c r="A13" s="103"/>
      <c r="B13" s="104" t="s">
        <v>42</v>
      </c>
      <c r="C13" s="111">
        <v>100</v>
      </c>
    </row>
    <row r="15" spans="1:5" ht="18">
      <c r="A15" s="110" t="s">
        <v>40</v>
      </c>
      <c r="B15" s="106"/>
      <c r="C15" s="107">
        <v>0.03</v>
      </c>
      <c r="D15" s="106"/>
      <c r="E15" s="106"/>
    </row>
    <row r="16" spans="1:5" ht="28.8">
      <c r="A16" s="106"/>
      <c r="B16" s="108" t="s">
        <v>41</v>
      </c>
      <c r="C16" s="106"/>
      <c r="D16" s="106"/>
      <c r="E16" s="106"/>
    </row>
    <row r="17" spans="1:5">
      <c r="A17" s="106"/>
      <c r="B17" s="106"/>
      <c r="C17" s="106"/>
      <c r="D17" s="106"/>
      <c r="E17" s="106"/>
    </row>
    <row r="18" spans="1:5" ht="18">
      <c r="A18" s="110" t="s">
        <v>25</v>
      </c>
      <c r="B18" s="106"/>
      <c r="C18" s="109">
        <v>85</v>
      </c>
      <c r="D18" s="106"/>
      <c r="E18" s="106"/>
    </row>
    <row r="19" spans="1:5">
      <c r="A19" s="106"/>
      <c r="B19" s="106"/>
      <c r="C19" s="106"/>
      <c r="D19" s="106"/>
      <c r="E19" s="106"/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9"/>
  <sheetViews>
    <sheetView workbookViewId="0">
      <selection activeCell="A3" sqref="A3"/>
    </sheetView>
  </sheetViews>
  <sheetFormatPr defaultRowHeight="14.4"/>
  <cols>
    <col min="9" max="9" width="10.44140625" customWidth="1"/>
    <col min="10" max="10" width="42.5546875" bestFit="1" customWidth="1"/>
    <col min="12" max="12" width="20" bestFit="1" customWidth="1"/>
  </cols>
  <sheetData>
    <row r="1" spans="1:16">
      <c r="A1" t="s">
        <v>3</v>
      </c>
      <c r="C1" t="s">
        <v>21</v>
      </c>
      <c r="F1" t="s">
        <v>26</v>
      </c>
      <c r="J1" t="s">
        <v>27</v>
      </c>
      <c r="N1" t="s">
        <v>56</v>
      </c>
      <c r="P1" t="s">
        <v>49</v>
      </c>
    </row>
    <row r="2" spans="1:16">
      <c r="A2" t="s">
        <v>4</v>
      </c>
      <c r="C2" t="s">
        <v>22</v>
      </c>
      <c r="F2" t="s">
        <v>30</v>
      </c>
      <c r="J2" t="s">
        <v>30</v>
      </c>
      <c r="N2" t="s">
        <v>34</v>
      </c>
      <c r="P2" s="128">
        <v>0.104</v>
      </c>
    </row>
    <row r="3" spans="1:16">
      <c r="A3" s="4"/>
      <c r="B3" s="3"/>
      <c r="F3" t="s">
        <v>31</v>
      </c>
      <c r="J3" t="s">
        <v>31</v>
      </c>
      <c r="N3" t="s">
        <v>57</v>
      </c>
    </row>
    <row r="4" spans="1:16">
      <c r="F4" t="s">
        <v>55</v>
      </c>
      <c r="J4" t="s">
        <v>55</v>
      </c>
      <c r="N4" t="s">
        <v>58</v>
      </c>
    </row>
    <row r="5" spans="1:16">
      <c r="J5" t="s">
        <v>45</v>
      </c>
      <c r="N5" t="s">
        <v>59</v>
      </c>
    </row>
    <row r="6" spans="1:16">
      <c r="J6" t="s">
        <v>46</v>
      </c>
      <c r="N6" t="s">
        <v>60</v>
      </c>
    </row>
    <row r="7" spans="1:16">
      <c r="N7" t="s">
        <v>54</v>
      </c>
    </row>
    <row r="8" spans="1:16">
      <c r="N8" t="s">
        <v>61</v>
      </c>
    </row>
    <row r="9" spans="1:16">
      <c r="N9" t="s">
        <v>29</v>
      </c>
    </row>
  </sheetData>
  <sortState xmlns:xlrd2="http://schemas.microsoft.com/office/spreadsheetml/2017/richdata2" ref="N2:N10">
    <sortCondition ref="N2:N10"/>
  </sortState>
  <pageMargins left="0.7" right="0.7" top="0.75" bottom="0.75" header="0.3" footer="0.3"/>
  <pageSetup scale="67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SHEET</vt:lpstr>
      <vt:lpstr>Std Comm Rates</vt:lpstr>
      <vt:lpstr>Do Not Delete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Snider</dc:creator>
  <cp:lastModifiedBy>Martice Morrison</cp:lastModifiedBy>
  <cp:lastPrinted>2026-05-19T17:03:01Z</cp:lastPrinted>
  <dcterms:created xsi:type="dcterms:W3CDTF">2018-01-17T23:14:52Z</dcterms:created>
  <dcterms:modified xsi:type="dcterms:W3CDTF">2026-06-23T16:14:39Z</dcterms:modified>
</cp:coreProperties>
</file>